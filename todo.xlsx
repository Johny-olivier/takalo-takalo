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cap" sheetId="1" state="visible" r:id="rId3"/>
    <sheet name="liste des taches" sheetId="2" state="visible" r:id="rId4"/>
    <sheet name="avancement projet" sheetId="3" state="visible" r:id="rId5"/>
    <sheet name="Feuil4" sheetId="4" state="visible" r:id="rId6"/>
  </sheets>
  <calcPr iterateCount="100" refMode="A1" iterate="false" iterateDelta="0.0001"/>
  <pivotCaches>
    <pivotCache cacheId="1" r:id="rId8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<sst xmlns="http://schemas.openxmlformats.org/spreadsheetml/2006/main" count="74" uniqueCount="46">
  <si>
    <t xml:space="preserve">Qui</t>
  </si>
  <si>
    <t xml:space="preserve">Somme de Estimation</t>
  </si>
  <si>
    <t xml:space="preserve">RAKOTO</t>
  </si>
  <si>
    <t xml:space="preserve">RASOA</t>
  </si>
  <si>
    <t xml:space="preserve">(vide)</t>
  </si>
  <si>
    <t xml:space="preserve">Total Résultat</t>
  </si>
  <si>
    <t xml:space="preserve">Module</t>
  </si>
  <si>
    <t xml:space="preserve">Nom page</t>
  </si>
  <si>
    <t xml:space="preserve">Description</t>
  </si>
  <si>
    <t xml:space="preserve">Type</t>
  </si>
  <si>
    <t xml:space="preserve">Estimation</t>
  </si>
  <si>
    <t xml:space="preserve">Temps passé</t>
  </si>
  <si>
    <t xml:space="preserve">Reste à faire</t>
  </si>
  <si>
    <t xml:space="preserve">Avancement</t>
  </si>
  <si>
    <t xml:space="preserve">Status</t>
  </si>
  <si>
    <t xml:space="preserve">Database</t>
  </si>
  <si>
    <t xml:space="preserve">script.sql</t>
  </si>
  <si>
    <t xml:space="preserve">Création tables</t>
  </si>
  <si>
    <t xml:space="preserve">Données</t>
  </si>
  <si>
    <t xml:space="preserve">Faneva</t>
  </si>
  <si>
    <t xml:space="preserve">User</t>
  </si>
  <si>
    <t xml:space="preserve">User.php</t>
  </si>
  <si>
    <t xml:space="preserve">Modele</t>
  </si>
  <si>
    <t xml:space="preserve">Class</t>
  </si>
  <si>
    <t xml:space="preserve">UserController.php</t>
  </si>
  <si>
    <t xml:space="preserve">Controller ( Appel de toutes les fonctions Models)</t>
  </si>
  <si>
    <t xml:space="preserve">Jeannie</t>
  </si>
  <si>
    <t xml:space="preserve">Login</t>
  </si>
  <si>
    <t xml:space="preserve">Login.php</t>
  </si>
  <si>
    <t xml:space="preserve">Message</t>
  </si>
  <si>
    <t xml:space="preserve">Message.php</t>
  </si>
  <si>
    <t xml:space="preserve">Modèle</t>
  </si>
  <si>
    <t xml:space="preserve">CRUD</t>
  </si>
  <si>
    <t xml:space="preserve">Fonctions</t>
  </si>
  <si>
    <t xml:space="preserve">MessageController.php</t>
  </si>
  <si>
    <t xml:space="preserve">Router.php</t>
  </si>
  <si>
    <t xml:space="preserve">Routes de toute les fonctions dans controller)</t>
  </si>
  <si>
    <t xml:space="preserve">Header.php</t>
  </si>
  <si>
    <t xml:space="preserve">Separation de </t>
  </si>
  <si>
    <t xml:space="preserve">Affichage</t>
  </si>
  <si>
    <t xml:space="preserve">estimation total</t>
  </si>
  <si>
    <t xml:space="preserve">temps passé total</t>
  </si>
  <si>
    <t xml:space="preserve">reste à faire total</t>
  </si>
  <si>
    <t xml:space="preserve">avancement</t>
  </si>
  <si>
    <t xml:space="preserve">dépassement</t>
  </si>
  <si>
    <t xml:space="preserve">heure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</si>
</sst>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 %"/>
    <numFmt numFmtId="166" formatCode="0.00\ %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ptos Narrow"/>
      <family val="2"/>
      <charset val="1"/>
    </font>
    <font>
      <b val="true"/>
      <sz val="12"/>
      <color theme="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"/>
        <bgColor rgb="FFCCCC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in de la table dynamique" xfId="20"/>
    <cellStyle name="Valeur de la table dynamique" xfId="21"/>
    <cellStyle name="Champ de la table dynamique" xfId="22"/>
    <cellStyle name="Catégorie de la table dynamique" xfId="23"/>
    <cellStyle name="Titre de la table dynamique" xfId="24"/>
    <cellStyle name="Résultat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6DCF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<Relationship Id="rId8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" createdVersion="3">
  <cacheSource type="worksheet">
    <worksheetSource ref="A1:J205" sheet="liste des taches"/>
  </cacheSource>
  <cacheFields count="10">
    <cacheField name="Module" numFmtId="0">
      <sharedItems containsBlank="1" count="3">
        <s v="dashboard"/>
        <s v="Login"/>
        <m/>
      </sharedItems>
    </cacheField>
    <cacheField name="Nom page" numFmtId="0">
      <sharedItems containsBlank="1" count="4">
        <s v="fonctions.php"/>
        <s v="index.php"/>
        <s v="traitement-login.php"/>
        <m/>
      </sharedItems>
    </cacheField>
    <cacheField name="Description" numFmtId="0">
      <sharedItems containsBlank="1" count="7">
        <s v="checkLogin"/>
        <s v="Création html"/>
        <s v="Design css"/>
        <s v="données test"/>
        <s v="fonctionnement login"/>
        <s v="table login"/>
        <m/>
      </sharedItems>
    </cacheField>
    <cacheField name="Type" numFmtId="0">
      <sharedItems containsBlank="1" count="5">
        <s v="Affichage"/>
        <s v="Base"/>
        <s v="Code intégration"/>
        <s v="Fonction"/>
        <m/>
      </sharedItems>
    </cacheField>
    <cacheField name="Estimation" numFmtId="0">
      <sharedItems containsString="0" containsBlank="1" containsNumber="1" containsInteger="1" minValue="10" maxValue="180" count="5">
        <n v="10"/>
        <n v="15"/>
        <n v="30"/>
        <n v="180"/>
        <m/>
      </sharedItems>
    </cacheField>
    <cacheField name="Temps passé" numFmtId="0">
      <sharedItems containsString="0" containsBlank="1" containsNumber="1" containsInteger="1" minValue="2" maxValue="60" count="5">
        <n v="2"/>
        <n v="20"/>
        <n v="30"/>
        <n v="60"/>
        <m/>
      </sharedItems>
    </cacheField>
    <cacheField name="Reste à faire" numFmtId="0">
      <sharedItems containsString="0" containsBlank="1" containsNumber="1" containsInteger="1" minValue="0" maxValue="30" count="4">
        <n v="0"/>
        <n v="10"/>
        <n v="30"/>
        <m/>
      </sharedItems>
    </cacheField>
    <cacheField name="Avancement" numFmtId="0">
      <sharedItems containsString="0" containsBlank="1" containsNumber="1" containsInteger="1" minValue="0" maxValue="1" count="3">
        <n v="0"/>
        <n v="1"/>
        <m/>
      </sharedItems>
    </cacheField>
    <cacheField name="Qui" numFmtId="0">
      <sharedItems containsBlank="1" count="3">
        <s v="RAKOTO"/>
        <s v="RASOA"/>
        <m/>
      </sharedItems>
    </cacheField>
    <cacheField name="Status" numFmtId="0">
      <sharedItems containsString="0" containsBlank="1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">
  <r>
    <x v="1"/>
    <x v="1"/>
    <x v="1"/>
    <x v="0"/>
    <x v="2"/>
    <x v="2"/>
    <x v="0"/>
    <x v="1"/>
    <x v="0"/>
    <x v="0"/>
  </r>
  <r>
    <x v="1"/>
    <x v="1"/>
    <x v="2"/>
    <x v="0"/>
    <x v="2"/>
    <x v="1"/>
    <x v="0"/>
    <x v="1"/>
    <x v="0"/>
    <x v="0"/>
  </r>
  <r>
    <x v="1"/>
    <x v="0"/>
    <x v="0"/>
    <x v="3"/>
    <x v="1"/>
    <x v="0"/>
    <x v="0"/>
    <x v="1"/>
    <x v="1"/>
    <x v="0"/>
  </r>
  <r>
    <x v="1"/>
    <x v="1"/>
    <x v="5"/>
    <x v="1"/>
    <x v="0"/>
    <x v="4"/>
    <x v="1"/>
    <x v="0"/>
    <x v="1"/>
    <x v="0"/>
  </r>
  <r>
    <x v="1"/>
    <x v="1"/>
    <x v="3"/>
    <x v="1"/>
    <x v="0"/>
    <x v="4"/>
    <x v="1"/>
    <x v="0"/>
    <x v="1"/>
    <x v="0"/>
  </r>
  <r>
    <x v="1"/>
    <x v="2"/>
    <x v="4"/>
    <x v="2"/>
    <x v="2"/>
    <x v="4"/>
    <x v="2"/>
    <x v="0"/>
    <x v="0"/>
    <x v="0"/>
  </r>
  <r>
    <x v="0"/>
    <x v="3"/>
    <x v="6"/>
    <x v="4"/>
    <x v="3"/>
    <x v="3"/>
    <x v="0"/>
    <x v="1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Tableau croisé dynamique1" cacheId="1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7" firstHeaderRow="1" firstDataRow="1" firstDataCol="1"/>
  <pivotFields count="10"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8"/>
  </rowFields>
  <dataFields count="1">
    <dataField name="Somme de Estimation" fld="4" subtotal="sum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9.5"/>
  </cols>
  <sheetData>
    <row r="3" customFormat="false" ht="15.75" hidden="false" customHeight="false" outlineLevel="0" collapsed="false">
      <c r="A3" s="1" t="s">
        <v>0</v>
      </c>
      <c r="B3" s="2" t="s">
        <v>1</v>
      </c>
    </row>
    <row r="4" customFormat="false" ht="15.75" hidden="false" customHeight="false" outlineLevel="0" collapsed="false">
      <c r="A4" s="3" t="s">
        <v>2</v>
      </c>
      <c r="B4" s="4" t="n">
        <v>270</v>
      </c>
    </row>
    <row r="5" customFormat="false" ht="15.75" hidden="false" customHeight="false" outlineLevel="0" collapsed="false">
      <c r="A5" s="5" t="s">
        <v>3</v>
      </c>
      <c r="B5" s="6" t="n">
        <v>35</v>
      </c>
    </row>
    <row r="6" customFormat="false" ht="15.75" hidden="false" customHeight="false" outlineLevel="0" collapsed="false">
      <c r="A6" s="5" t="s">
        <v>4</v>
      </c>
      <c r="B6" s="7"/>
    </row>
    <row r="7" customFormat="false" ht="15.75" hidden="false" customHeight="false" outlineLevel="0" collapsed="false">
      <c r="A7" s="8" t="s">
        <v>5</v>
      </c>
      <c r="B7" s="9" t="n">
        <v>305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18"/>
    <col collapsed="false" customWidth="true" hidden="false" outlineLevel="0" max="3" min="3" style="0" width="19.5"/>
    <col collapsed="false" customWidth="true" hidden="false" outlineLevel="0" max="4" min="4" style="0" width="15.16"/>
    <col collapsed="false" customWidth="true" hidden="false" outlineLevel="0" max="8" min="6" style="0" width="12"/>
    <col collapsed="false" customWidth="true" hidden="false" outlineLevel="0" max="9" min="9" style="0" width="7.83"/>
  </cols>
  <sheetData>
    <row r="1" customFormat="false" ht="15.75" hidden="false" customHeight="false" outlineLevel="0" collapsed="false">
      <c r="A1" s="10" t="s">
        <v>6</v>
      </c>
      <c r="B1" s="10" t="s">
        <v>7</v>
      </c>
      <c r="C1" s="10" t="s">
        <v>8</v>
      </c>
      <c r="D1" s="10" t="s">
        <v>9</v>
      </c>
      <c r="E1" s="10" t="s">
        <v>10</v>
      </c>
      <c r="F1" s="10" t="s">
        <v>11</v>
      </c>
      <c r="G1" s="10" t="s">
        <v>12</v>
      </c>
      <c r="H1" s="10" t="s">
        <v>13</v>
      </c>
      <c r="I1" s="10" t="s">
        <v>0</v>
      </c>
      <c r="J1" s="10" t="s">
        <v>14</v>
      </c>
    </row>
    <row r="2" customFormat="false" ht="15.75" hidden="false" customHeight="false" outlineLevel="0" collapsed="false">
      <c r="A2" s="0" t="s">
        <v>15</v>
      </c>
      <c r="B2" s="0" t="s">
        <v>16</v>
      </c>
      <c r="C2" s="0" t="s">
        <v>17</v>
      </c>
      <c r="D2" s="0" t="s">
        <v>18</v>
      </c>
      <c r="E2" s="0" t="n">
        <v>10</v>
      </c>
      <c r="F2" s="0" t="n">
        <v>0</v>
      </c>
      <c r="G2" s="0" t="n">
        <f aca="false">E2-F2</f>
        <v>10</v>
      </c>
      <c r="H2" s="11" t="n">
        <f aca="false">(F2/(F2+G2))</f>
        <v>0</v>
      </c>
      <c r="I2" s="12" t="s">
        <v>19</v>
      </c>
    </row>
    <row r="3" customFormat="false" ht="15.7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n">
        <v>11</v>
      </c>
      <c r="F3" s="0" t="n">
        <v>0</v>
      </c>
      <c r="G3" s="0" t="n">
        <f aca="false">E3-F3</f>
        <v>11</v>
      </c>
      <c r="H3" s="11" t="n">
        <f aca="false">(F3/(F3+G3))</f>
        <v>0</v>
      </c>
      <c r="I3" s="12" t="s">
        <v>19</v>
      </c>
    </row>
    <row r="4" customFormat="false" ht="15.75" hidden="false" customHeight="false" outlineLevel="0" collapsed="false">
      <c r="A4" s="0" t="s">
        <v>20</v>
      </c>
      <c r="B4" s="0" t="s">
        <v>24</v>
      </c>
      <c r="C4" s="0" t="s">
        <v>25</v>
      </c>
      <c r="D4" s="0" t="s">
        <v>23</v>
      </c>
      <c r="E4" s="0" t="n">
        <v>12</v>
      </c>
      <c r="F4" s="0" t="n">
        <v>1</v>
      </c>
      <c r="G4" s="0" t="n">
        <f aca="false">E4-F4</f>
        <v>11</v>
      </c>
      <c r="H4" s="11" t="n">
        <f aca="false">(F4/(F4+G4))</f>
        <v>0.0833333333333333</v>
      </c>
      <c r="I4" s="12" t="s">
        <v>26</v>
      </c>
    </row>
    <row r="5" customFormat="false" ht="15.75" hidden="false" customHeight="false" outlineLevel="0" collapsed="false">
      <c r="A5" s="0" t="s">
        <v>27</v>
      </c>
      <c r="B5" s="0" t="s">
        <v>28</v>
      </c>
      <c r="C5" s="0" t="s">
        <v>22</v>
      </c>
      <c r="D5" s="0" t="s">
        <v>23</v>
      </c>
      <c r="E5" s="0" t="n">
        <v>13</v>
      </c>
      <c r="F5" s="0" t="n">
        <v>2</v>
      </c>
      <c r="G5" s="0" t="n">
        <f aca="false">E5-F5</f>
        <v>11</v>
      </c>
      <c r="H5" s="11" t="n">
        <f aca="false">(F5/(F5+G5))</f>
        <v>0.153846153846154</v>
      </c>
      <c r="I5" s="12" t="s">
        <v>19</v>
      </c>
    </row>
    <row r="6" customFormat="false" ht="15.75" hidden="false" customHeight="false" outlineLevel="0" collapsed="false">
      <c r="H6" s="11" t="e">
        <f aca="false">(F6/(F6+G6))</f>
        <v>#DIV/0!</v>
      </c>
      <c r="I6" s="12" t="s">
        <v>19</v>
      </c>
    </row>
    <row r="7" customFormat="false" ht="15.75" hidden="false" customHeight="false" outlineLevel="0" collapsed="false">
      <c r="H7" s="11" t="e">
        <f aca="false">(F7/(F7+G7))</f>
        <v>#DIV/0!</v>
      </c>
      <c r="I7" s="12" t="s">
        <v>19</v>
      </c>
    </row>
    <row r="8" customFormat="false" ht="15.75" hidden="false" customHeight="false" outlineLevel="0" collapsed="false">
      <c r="A8" s="0" t="s">
        <v>29</v>
      </c>
      <c r="B8" s="0" t="s">
        <v>30</v>
      </c>
      <c r="C8" s="0" t="s">
        <v>31</v>
      </c>
      <c r="D8" s="0" t="s">
        <v>23</v>
      </c>
      <c r="E8" s="0" t="n">
        <v>10</v>
      </c>
      <c r="F8" s="0" t="n">
        <v>0</v>
      </c>
      <c r="G8" s="0" t="n">
        <v>10</v>
      </c>
      <c r="H8" s="11" t="n">
        <f aca="false">(F8/(F8+G8))</f>
        <v>0</v>
      </c>
      <c r="I8" s="12" t="s">
        <v>19</v>
      </c>
    </row>
    <row r="9" customFormat="false" ht="15.75" hidden="false" customHeight="false" outlineLevel="0" collapsed="false">
      <c r="A9" s="0" t="s">
        <v>29</v>
      </c>
      <c r="B9" s="0" t="s">
        <v>30</v>
      </c>
      <c r="C9" s="0" t="s">
        <v>32</v>
      </c>
      <c r="D9" s="0" t="s">
        <v>33</v>
      </c>
      <c r="E9" s="0" t="n">
        <v>20</v>
      </c>
      <c r="F9" s="0" t="n">
        <v>0</v>
      </c>
      <c r="G9" s="0" t="n">
        <v>20</v>
      </c>
      <c r="H9" s="11" t="n">
        <f aca="false">(F9/(F9+G9))</f>
        <v>0</v>
      </c>
      <c r="I9" s="12" t="s">
        <v>26</v>
      </c>
    </row>
    <row r="10" customFormat="false" ht="15.75" hidden="false" customHeight="false" outlineLevel="0" collapsed="false">
      <c r="A10" s="0" t="s">
        <v>29</v>
      </c>
      <c r="B10" s="0" t="s">
        <v>34</v>
      </c>
      <c r="C10" s="0" t="s">
        <v>25</v>
      </c>
      <c r="D10" s="0" t="s">
        <v>23</v>
      </c>
      <c r="E10" s="0" t="n">
        <v>20</v>
      </c>
      <c r="F10" s="0" t="n">
        <v>0</v>
      </c>
      <c r="G10" s="0" t="n">
        <f aca="false">E10-F10</f>
        <v>20</v>
      </c>
      <c r="H10" s="11" t="n">
        <f aca="false">(F10/(F10+G10))</f>
        <v>0</v>
      </c>
      <c r="I10" s="12" t="s">
        <v>19</v>
      </c>
    </row>
    <row r="11" customFormat="false" ht="15.75" hidden="false" customHeight="false" outlineLevel="0" collapsed="false">
      <c r="A11" s="0" t="s">
        <v>29</v>
      </c>
      <c r="B11" s="0" t="s">
        <v>35</v>
      </c>
      <c r="C11" s="0" t="s">
        <v>36</v>
      </c>
      <c r="D11" s="0" t="s">
        <v>23</v>
      </c>
      <c r="E11" s="0" t="n">
        <v>15</v>
      </c>
      <c r="F11" s="0" t="n">
        <v>0</v>
      </c>
      <c r="G11" s="0" t="n">
        <f aca="false">E11-F11</f>
        <v>15</v>
      </c>
      <c r="H11" s="11" t="n">
        <f aca="false">(F11/(F11+G11))</f>
        <v>0</v>
      </c>
      <c r="I11" s="12" t="s">
        <v>26</v>
      </c>
    </row>
    <row r="12" customFormat="false" ht="15.75" hidden="false" customHeight="false" outlineLevel="0" collapsed="false">
      <c r="A12" s="0" t="s">
        <v>29</v>
      </c>
      <c r="B12" s="0" t="s">
        <v>37</v>
      </c>
      <c r="C12" s="0" t="s">
        <v>38</v>
      </c>
      <c r="D12" s="0" t="s">
        <v>39</v>
      </c>
      <c r="E12" s="0" t="n">
        <v>30</v>
      </c>
      <c r="F12" s="0" t="n">
        <v>4</v>
      </c>
      <c r="G12" s="0" t="n">
        <f aca="false">E12-F12</f>
        <v>26</v>
      </c>
      <c r="H12" s="11" t="n">
        <f aca="false">(F12/(F12+G12))</f>
        <v>0.133333333333333</v>
      </c>
      <c r="I12" s="12" t="s">
        <v>2</v>
      </c>
    </row>
    <row r="13" customFormat="false" ht="15.75" hidden="false" customHeight="false" outlineLevel="0" collapsed="false">
      <c r="A13" s="0" t="s">
        <v>29</v>
      </c>
      <c r="B13" s="0" t="s">
        <v>30</v>
      </c>
      <c r="C13" s="0" t="s">
        <v>31</v>
      </c>
      <c r="D13" s="0" t="s">
        <v>23</v>
      </c>
      <c r="E13" s="0" t="n">
        <v>180</v>
      </c>
      <c r="F13" s="0" t="n">
        <v>5</v>
      </c>
      <c r="G13" s="0" t="n">
        <v>0</v>
      </c>
      <c r="H13" s="11" t="n">
        <f aca="false">(F13/(F13+G13))</f>
        <v>1</v>
      </c>
      <c r="I13" s="12" t="s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0.55078125" defaultRowHeight="15.75" zeroHeight="false" outlineLevelRow="0" outlineLevelCol="0"/>
  <cols>
    <col collapsed="false" customWidth="true" hidden="false" outlineLevel="0" max="1" min="1" style="0" width="25.5"/>
    <col collapsed="false" customWidth="true" hidden="false" outlineLevel="0" max="2" min="2" style="0" width="25.83"/>
    <col collapsed="false" customWidth="true" hidden="false" outlineLevel="0" max="3" min="3" style="0" width="30.83"/>
    <col collapsed="false" customWidth="true" hidden="false" outlineLevel="0" max="4" min="4" style="0" width="12.51"/>
    <col collapsed="false" customWidth="true" hidden="false" outlineLevel="0" max="5" min="5" style="0" width="22.5"/>
  </cols>
  <sheetData>
    <row r="1" customFormat="false" ht="15.75" hidden="false" customHeight="false" outlineLevel="0" collapsed="false">
      <c r="A1" s="10" t="s">
        <v>40</v>
      </c>
      <c r="B1" s="10" t="s">
        <v>41</v>
      </c>
      <c r="C1" s="10" t="s">
        <v>42</v>
      </c>
      <c r="D1" s="10" t="s">
        <v>43</v>
      </c>
      <c r="E1" s="10" t="s">
        <v>44</v>
      </c>
    </row>
    <row r="2" customFormat="false" ht="15.75" hidden="false" customHeight="false" outlineLevel="0" collapsed="false">
      <c r="A2" s="0" t="n">
        <f aca="false">SUM('liste des taches'!E2:E334)</f>
        <v>321</v>
      </c>
      <c r="B2" s="0" t="n">
        <f aca="false">SUM('liste des taches'!F2:F334)</f>
        <v>12</v>
      </c>
      <c r="C2" s="0" t="n">
        <f aca="false">SUM('liste des taches'!G2:G334)</f>
        <v>134</v>
      </c>
      <c r="D2" s="11" t="n">
        <f aca="false">(B2/(B2+C2))</f>
        <v>0.0821917808219178</v>
      </c>
      <c r="E2" s="13" t="n">
        <f aca="false">((B2+C2)-A2)/A2</f>
        <v>-0.545171339563863</v>
      </c>
    </row>
    <row r="3" customFormat="false" ht="15.75" hidden="false" customHeight="false" outlineLevel="0" collapsed="false">
      <c r="C3" s="0" t="n">
        <f aca="false">C2/60</f>
        <v>2.23333333333333</v>
      </c>
      <c r="D3" s="0" t="s">
        <v>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10.55078125" defaultRowHeight="15.7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2026-01-08T08:10:07Z</dcterms:created>
  <dc:creator>Rojo Raben</dc:creator>
  <dc:description/>
  <dc:language>fr-FR</dc:language>
  <cp:lastModifiedBy/>
  <dcterms:modified xsi:type="dcterms:W3CDTF">2026-02-02T15:08:35Z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